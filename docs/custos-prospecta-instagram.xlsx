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missas" sheetId="1" state="visible" r:id="rId3"/>
    <sheet name="IA por lead" sheetId="2" state="visible" r:id="rId4"/>
    <sheet name="Uso próprio" sheetId="3" state="visible" r:id="rId5"/>
    <sheet name="Venda" sheetId="4" state="visible" r:id="rId6"/>
    <sheet name="Fontes e not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<sst xmlns="http://schemas.openxmlformats.org/spreadsheetml/2006/main" count="203" uniqueCount="168">
  <si>
    <t xml:space="preserve">Prospecta Instagram — Premissas (edite só as células azuis/amarelas)</t>
  </si>
  <si>
    <t xml:space="preserve">Legenda: texto AZUL = número que você pode mudar · fundo AMARELO = premissa-chave · texto preto = fórmula · verde = puxado de outra aba</t>
  </si>
  <si>
    <t xml:space="preserve">Premissa</t>
  </si>
  <si>
    <t xml:space="preserve">Valor</t>
  </si>
  <si>
    <t xml:space="preserve">Unidade</t>
  </si>
  <si>
    <t xml:space="preserve">Fonte / observação</t>
  </si>
  <si>
    <t xml:space="preserve">Câmbio (R$ por US$)</t>
  </si>
  <si>
    <t xml:space="preserve">R$/US$</t>
  </si>
  <si>
    <t xml:space="preserve">Estimativa. Ajuste para o câmbio do dia.</t>
  </si>
  <si>
    <t xml:space="preserve">Preço Claude Sonnet 5.5 — entrada</t>
  </si>
  <si>
    <t xml:space="preserve">US$ / 1M tokens</t>
  </si>
  <si>
    <t xml:space="preserve">Tabela de preços da Anthropic (referência cacheada em 25/09/2026).</t>
  </si>
  <si>
    <t xml:space="preserve">Preço Claude Sonnet 5.5 — saída</t>
  </si>
  <si>
    <t xml:space="preserve">Preço Claude Haiku 4.5 — entrada</t>
  </si>
  <si>
    <t xml:space="preserve">Preço Claude Haiku 4.5 — saída</t>
  </si>
  <si>
    <t xml:space="preserve">Economia na entrada com cache de prompt/lote</t>
  </si>
  <si>
    <t xml:space="preserve">%</t>
  </si>
  <si>
    <t xml:space="preserve">O playbook e o perfil do cliente ideal se repetem em toda chamada; com cache de prompt, a leitura repetida sai bem mais barata. 50% é uma estimativa conservadora.</t>
  </si>
  <si>
    <t xml:space="preserve">Leads abordados por mês (por usuário)</t>
  </si>
  <si>
    <t xml:space="preserve">leads</t>
  </si>
  <si>
    <t xml:space="preserve">~20 DMs manuais por dia útil: volume seguro para não parecer spam no Instagram.</t>
  </si>
  <si>
    <t xml:space="preserve">Follow-ups por lead sem resposta</t>
  </si>
  <si>
    <t xml:space="preserve">mensagens</t>
  </si>
  <si>
    <t xml:space="preserve">Cadência D+2 e D+5 (o 3º toque é opcional).</t>
  </si>
  <si>
    <t xml:space="preserve">Taxa de resposta das DMs</t>
  </si>
  <si>
    <t xml:space="preserve">Hipótese inicial de abordagem personalizada. Meça no seu teste e ajuste.</t>
  </si>
  <si>
    <t xml:space="preserve">Rodadas de conversa por lead que responde</t>
  </si>
  <si>
    <t xml:space="preserve">rodadas</t>
  </si>
  <si>
    <t xml:space="preserve">Diagnóstico → valor → objeção → convite/oferta.</t>
  </si>
  <si>
    <t xml:space="preserve">Taxa de conversão resposta → venda</t>
  </si>
  <si>
    <t xml:space="preserve">Hipótese. Serve só para estimar o retorno, não o custo.</t>
  </si>
  <si>
    <t xml:space="preserve">Ticket médio do SEU produto (uso próprio)</t>
  </si>
  <si>
    <t xml:space="preserve">R$</t>
  </si>
  <si>
    <t xml:space="preserve">Preencha com o preço do seu infoproduto ou micro SaaS.</t>
  </si>
  <si>
    <t xml:space="preserve">Preço mensal do plano (para vender o app)</t>
  </si>
  <si>
    <t xml:space="preserve">R$/mês</t>
  </si>
  <si>
    <t xml:space="preserve">Hipótese de preço para infoprodutores e donos de micro SaaS. Teste entre R$ 147 e R$ 297.</t>
  </si>
  <si>
    <t xml:space="preserve">Clientes pagantes (cenário de venda)</t>
  </si>
  <si>
    <t xml:space="preserve">clientes</t>
  </si>
  <si>
    <t xml:space="preserve">Meta dos primeiros 3 a 6 meses.</t>
  </si>
  <si>
    <t xml:space="preserve">Taxa do gateway (cartão/assinatura)</t>
  </si>
  <si>
    <t xml:space="preserve">% da venda</t>
  </si>
  <si>
    <t xml:space="preserve">Estimativa de mercado para o Asaas (cartão ~2,99% + tarifa fixa). Conferir em asaas.com.</t>
  </si>
  <si>
    <t xml:space="preserve">Tarifa fixa do gateway por cobrança</t>
  </si>
  <si>
    <t xml:space="preserve">Estimativa. Pix e boleto costumam ter tarifa fixa (~R$ 1,99). Conferir em asaas.com.</t>
  </si>
  <si>
    <t xml:space="preserve">Imposto sobre faturamento (Simples Nacional)</t>
  </si>
  <si>
    <t xml:space="preserve">% da receita</t>
  </si>
  <si>
    <t xml:space="preserve">Anexo III com fator R (~6%); sem fator R pode ir a 15,5% (Anexo V). Confirme com o contador.</t>
  </si>
  <si>
    <t xml:space="preserve">Verba mensal de marketing (cenário de venda)</t>
  </si>
  <si>
    <t xml:space="preserve">Tráfego pago, conteúdo ou parcerias. Coloque 0 se for só orgânico.</t>
  </si>
  <si>
    <t xml:space="preserve">Custo da inteligência por lead (o que a IA faz em cada etapa)</t>
  </si>
  <si>
    <t xml:space="preserve">Etapa da IA</t>
  </si>
  <si>
    <t xml:space="preserve">Modelo</t>
  </si>
  <si>
    <t xml:space="preserve">Tokens de entrada</t>
  </si>
  <si>
    <t xml:space="preserve">Tokens de saída</t>
  </si>
  <si>
    <t xml:space="preserve">Vezes por lead</t>
  </si>
  <si>
    <t xml:space="preserve">Custo por vez (US$)</t>
  </si>
  <si>
    <t xml:space="preserve">Custo por lead (US$)</t>
  </si>
  <si>
    <t xml:space="preserve">O que faz</t>
  </si>
  <si>
    <t xml:space="preserve">1. Análise do perfil (bio, posts, sinais de compra)</t>
  </si>
  <si>
    <t xml:space="preserve">Haiku</t>
  </si>
  <si>
    <t xml:space="preserve">Lê bio, link e últimas legendas; classifica estágio, dor provável, nota de fit e temperatura.</t>
  </si>
  <si>
    <t xml:space="preserve">2. DM de abertura personalizada</t>
  </si>
  <si>
    <t xml:space="preserve">Sonnet</t>
  </si>
  <si>
    <t xml:space="preserve">Escreve a 1ª mensagem com gancho específico, sem pitch, terminando em pergunta.</t>
  </si>
  <si>
    <t xml:space="preserve">3. Follow-ups (quem não respondeu)</t>
  </si>
  <si>
    <t xml:space="preserve">Mensagens novas trazendo valor, sem cobrar resposta.</t>
  </si>
  <si>
    <t xml:space="preserve">4. Conversa: ler resposta e sugerir a próxima mensagem</t>
  </si>
  <si>
    <t xml:space="preserve">Classifica a resposta, trata objeções e conduz até a call ou o link de checkout.</t>
  </si>
  <si>
    <t xml:space="preserve">5. Placar e aprendizado (o que converte)</t>
  </si>
  <si>
    <t xml:space="preserve">Registra o resultado e ajusta as melhores aberturas e ganchos do seu nicho.</t>
  </si>
  <si>
    <t xml:space="preserve">Custo de IA por lead (US$)</t>
  </si>
  <si>
    <t xml:space="preserve">Custo de IA por lead (R$)</t>
  </si>
  <si>
    <t xml:space="preserve">Custo de IA por usuário/mês (R$)</t>
  </si>
  <si>
    <t xml:space="preserve">Tokens são estimativas do tamanho dos textos (1 token ≈ 3/4 de palavra). Os modelos podem ser trocados na coluna B (Sonnet ou Haiku).</t>
  </si>
  <si>
    <t xml:space="preserve">Cenário 1 — Uso próprio (1 usuária: você testando)</t>
  </si>
  <si>
    <t xml:space="preserve">Custos</t>
  </si>
  <si>
    <t xml:space="preserve">Item</t>
  </si>
  <si>
    <t xml:space="preserve">Custo inicial (R$)</t>
  </si>
  <si>
    <t xml:space="preserve">Custo mensal (R$)</t>
  </si>
  <si>
    <t xml:space="preserve">Obrigatório?</t>
  </si>
  <si>
    <t xml:space="preserve">Observação / fonte</t>
  </si>
  <si>
    <t xml:space="preserve">Hospedagem do app (Netlify, plano gratuito)</t>
  </si>
  <si>
    <t xml:space="preserve">Sim</t>
  </si>
  <si>
    <t xml:space="preserve">O plano gratuito atende 1 usuária.</t>
  </si>
  <si>
    <t xml:space="preserve">Banco de dados e login (Supabase Free)</t>
  </si>
  <si>
    <t xml:space="preserve">Grátis até 500 MB. O projeto pausa após 7 dias sem uso (basta abrir o app).</t>
  </si>
  <si>
    <t xml:space="preserve">IA — Claude (análise, DMs e conversa)</t>
  </si>
  <si>
    <t xml:space="preserve">Inicial = US$ 5 de crédito mínimo. Mensal = custo por lead × leads/mês (aba IA por lead).</t>
  </si>
  <si>
    <t xml:space="preserve">App da Meta / API do Instagram</t>
  </si>
  <si>
    <t xml:space="preserve">Gratuito. Para uso só na sua conta, o app fica em modo de desenvolvimento, sem revisão da Meta.</t>
  </si>
  <si>
    <t xml:space="preserve">Automação comentário → DM (ChatFyre)</t>
  </si>
  <si>
    <t xml:space="preserve">Opcional</t>
  </si>
  <si>
    <t xml:space="preserve">Você já tem o ChatFyre conectado. Coloque aqui o valor do seu plano.</t>
  </si>
  <si>
    <t xml:space="preserve">Domínio próprio (.com.br, registro.br)</t>
  </si>
  <si>
    <t xml:space="preserve">~R$ 40/ano. Pode usar o endereço grátis .netlify.app no teste.</t>
  </si>
  <si>
    <t xml:space="preserve">E-mails (Resend, plano gratuito)</t>
  </si>
  <si>
    <t xml:space="preserve">Grátis até 3.000 e-mails/mês. Para 1 usuária, o e-mail do Supabase basta.</t>
  </si>
  <si>
    <t xml:space="preserve">Assinatura do Claude (para eu desenvolver)</t>
  </si>
  <si>
    <t xml:space="preserve">—</t>
  </si>
  <si>
    <t xml:space="preserve">Você já paga. Não é custo novo do projeto.</t>
  </si>
  <si>
    <t xml:space="preserve">TOTAL</t>
  </si>
  <si>
    <t xml:space="preserve">Retorno estimado do teste (por mês)</t>
  </si>
  <si>
    <t xml:space="preserve">Leads abordados</t>
  </si>
  <si>
    <t xml:space="preserve">Respostas esperadas</t>
  </si>
  <si>
    <t xml:space="preserve">Vendas esperadas</t>
  </si>
  <si>
    <t xml:space="preserve">Faturamento estimado (R$)</t>
  </si>
  <si>
    <t xml:space="preserve">Custo mensal total (R$)</t>
  </si>
  <si>
    <t xml:space="preserve">Retorno sobre o custo (x)</t>
  </si>
  <si>
    <t xml:space="preserve">As taxas de resposta e de conversão são hipóteses (aba Premissas). Troque pelos números reais do seu teste.</t>
  </si>
  <si>
    <t xml:space="preserve">Cenário 2 — Vender o micro SaaS</t>
  </si>
  <si>
    <t xml:space="preserve">Custos fixos e de lançamento</t>
  </si>
  <si>
    <t xml:space="preserve">Abertura de empresa (ME, Simples Nacional)</t>
  </si>
  <si>
    <t xml:space="preserve">Estimativa: taxas da Junta e do município. Muitos contadores online abrem sem custo. Software não pode ser MEI (CNAE 6201/6203).</t>
  </si>
  <si>
    <t xml:space="preserve">Contador</t>
  </si>
  <si>
    <t xml:space="preserve">Estimativa de contabilidade online para ME de serviços.</t>
  </si>
  <si>
    <t xml:space="preserve">Termos de uso, privacidade e contrato (advogado)</t>
  </si>
  <si>
    <t xml:space="preserve">Estimativa. Inclui a revisão LGPD das páginas /privacidade e /termos.</t>
  </si>
  <si>
    <t xml:space="preserve">Registro de marca no INPI (1 classe)</t>
  </si>
  <si>
    <t xml:space="preserve">Recomendado</t>
  </si>
  <si>
    <t xml:space="preserve">Estimativa com o desconto de ME. Conferir a tabela de retribuições do INPI.</t>
  </si>
  <si>
    <t xml:space="preserve">Domínio .com.br</t>
  </si>
  <si>
    <t xml:space="preserve">registro.br, ~R$ 40/ano.</t>
  </si>
  <si>
    <t xml:space="preserve">Verificação do negócio + revisão do app na Meta</t>
  </si>
  <si>
    <t xml:space="preserve">Gratuita, mas leva de 1 a 4 semanas. Exige política de privacidade publicada e CNPJ.</t>
  </si>
  <si>
    <t xml:space="preserve">Supabase Pro</t>
  </si>
  <si>
    <t xml:space="preserve">US$ 25/mês: 8 GB de banco, 100 mil usuários ativos, sem pausa. Fonte: guias de preço 2026; conferir supabase.com/pricing.</t>
  </si>
  <si>
    <t xml:space="preserve">Netlify (plano pago)</t>
  </si>
  <si>
    <t xml:space="preserve">~US$ 19/mês se passar do limite gratuito. Conferir netlify.com/pricing.</t>
  </si>
  <si>
    <t xml:space="preserve">Resend (e-mails de login e lembretes)</t>
  </si>
  <si>
    <t xml:space="preserve">~US$ 20/mês (50 mil e-mails). Conferir resend.com/pricing.</t>
  </si>
  <si>
    <t xml:space="preserve">Suporte e atendimento (WhatsApp Business/ChatFyre)</t>
  </si>
  <si>
    <t xml:space="preserve">Preencha se usar uma ferramenta paga.</t>
  </si>
  <si>
    <t xml:space="preserve">Marketing (aquisição de clientes)</t>
  </si>
  <si>
    <t xml:space="preserve">Puxado da aba Premissas.</t>
  </si>
  <si>
    <t xml:space="preserve">Custo variável por cliente (por mês)</t>
  </si>
  <si>
    <t xml:space="preserve">R$ por cliente/mês</t>
  </si>
  <si>
    <t xml:space="preserve">Observação</t>
  </si>
  <si>
    <t xml:space="preserve">IA (leads/mês × custo por lead)</t>
  </si>
  <si>
    <t xml:space="preserve">Aba IA por lead.</t>
  </si>
  <si>
    <t xml:space="preserve">Taxa do gateway sobre a mensalidade</t>
  </si>
  <si>
    <t xml:space="preserve">Asaas: % + tarifa fixa por cobrança.</t>
  </si>
  <si>
    <t xml:space="preserve">Imposto sobre a mensalidade</t>
  </si>
  <si>
    <t xml:space="preserve">Simples Nacional.</t>
  </si>
  <si>
    <t xml:space="preserve">Banco, e-mail e servidor por usuário (rateio)</t>
  </si>
  <si>
    <t xml:space="preserve">Estimativa de uso adicional por cliente.</t>
  </si>
  <si>
    <t xml:space="preserve">Custo variável por cliente</t>
  </si>
  <si>
    <t xml:space="preserve">Resultado mensal com a meta de clientes</t>
  </si>
  <si>
    <t xml:space="preserve">Preço do plano (R$/mês)</t>
  </si>
  <si>
    <t xml:space="preserve">Margem de contribuição por cliente (R$)</t>
  </si>
  <si>
    <t xml:space="preserve">Margem de contribuição (%)</t>
  </si>
  <si>
    <t xml:space="preserve">Clientes pagantes</t>
  </si>
  <si>
    <t xml:space="preserve">Receita mensal (R$)</t>
  </si>
  <si>
    <t xml:space="preserve">Custo variável total (R$)</t>
  </si>
  <si>
    <t xml:space="preserve">Custos fixos mensais (R$)</t>
  </si>
  <si>
    <t xml:space="preserve">Lucro mensal (R$)</t>
  </si>
  <si>
    <t xml:space="preserve">Clientes para empatar (ponto de equilíbrio)</t>
  </si>
  <si>
    <t xml:space="preserve">Investimento inicial (R$)</t>
  </si>
  <si>
    <t xml:space="preserve">Meses para recuperar o investimento</t>
  </si>
  <si>
    <t xml:space="preserve">Fontes e observações</t>
  </si>
  <si>
    <t xml:space="preserve">• Preços da IA: tabela da Anthropic (Claude Sonnet 5.5: US$ 2 / US$ 10; Claude Haiku 4.5: US$ 1 / US$ 5 por milhão de tokens), referência cacheada em 25/09/2026.</t>
  </si>
  <si>
    <t xml:space="preserve">• Supabase: Free US$ 0 (pausa após 7 dias sem uso); Pro US$ 25/mês. Fontes: makerkit.dev/blog/saas/supabase-pricing e jetadmin.io (guias 2026). Conferir supabase.com/pricing.</t>
  </si>
  <si>
    <t xml:space="preserve">• Netlify e Resend: valores de referência não confirmados nesta pesquisa. Conferir netlify.com/pricing e resend.com/pricing antes de contratar.</t>
  </si>
  <si>
    <t xml:space="preserve">• Asaas: as taxas oficiais não foram encontradas na pesquisa; os valores são estimativas de mercado. Conferir a tabela em asaas.com.</t>
  </si>
  <si>
    <t xml:space="preserve">• Instagram: a API de mensagens só permite responder quem falou primeiro, numa janela de 24h, e exige App Review para produção. Fonte: developers.facebook.com (Instagram Messaging).</t>
  </si>
  <si>
    <t xml:space="preserve">• Empresa, contador, advogado e INPI: estimativas. Peça orçamento a um contador e a um advogado.</t>
  </si>
  <si>
    <t xml:space="preserve">• O desenvolvimento é feito pelo Claude dentro da sua assinatura atual, por isso não aparece como custo extra.</t>
  </si>
  <si>
    <t xml:space="preserve">• Todas as fórmulas recalculam ao mudar a aba Premissas.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</si>
</sst>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&quot;R$ &quot;#,##0.00;&quot;(R$ &quot;#,##0.00\);\-"/>
    <numFmt numFmtId="166" formatCode="&quot;US$ &quot;#,##0.00;&quot;(US$ &quot;#,##0.00\);\-"/>
    <numFmt numFmtId="167" formatCode="0.0%;\(0.0%\);\-"/>
    <numFmt numFmtId="168" formatCode="#,##0;\(#,##0\);\-"/>
    <numFmt numFmtId="169" formatCode="0.00"/>
    <numFmt numFmtId="170" formatCode="&quot;US$ &quot;#,##0.0000;&quot;(US$ &quot;#,##0.0000\);\-"/>
    <numFmt numFmtId="171" formatCode="0.0"/>
    <numFmt numFmtId="172" formatCode="0.0\x"/>
    <numFmt numFmtId="173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2236"/>
        <bgColor rgb="FF003300"/>
      </patternFill>
    </fill>
    <fill>
      <patternFill patternType="solid">
        <fgColor rgb="FFFFFF00"/>
        <bgColor rgb="FFFFFF00"/>
      </patternFill>
    </fill>
    <fill>
      <patternFill patternType="solid">
        <fgColor rgb="FFF3D9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3D9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223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9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5.5</v>
      </c>
      <c r="C5" s="4" t="s">
        <v>7</v>
      </c>
      <c r="D5" s="4" t="s">
        <v>8</v>
      </c>
    </row>
    <row r="6" customFormat="false" ht="15" hidden="false" customHeight="false" outlineLevel="0" collapsed="false">
      <c r="A6" s="4" t="s">
        <v>9</v>
      </c>
      <c r="B6" s="6" t="n">
        <v>2</v>
      </c>
      <c r="C6" s="4" t="s">
        <v>10</v>
      </c>
      <c r="D6" s="4" t="s">
        <v>11</v>
      </c>
    </row>
    <row r="7" customFormat="false" ht="15" hidden="false" customHeight="false" outlineLevel="0" collapsed="false">
      <c r="A7" s="4" t="s">
        <v>12</v>
      </c>
      <c r="B7" s="6" t="n">
        <v>10</v>
      </c>
      <c r="C7" s="4" t="s">
        <v>10</v>
      </c>
      <c r="D7" s="4" t="s">
        <v>11</v>
      </c>
    </row>
    <row r="8" customFormat="false" ht="15" hidden="false" customHeight="false" outlineLevel="0" collapsed="false">
      <c r="A8" s="4" t="s">
        <v>13</v>
      </c>
      <c r="B8" s="6" t="n">
        <v>1</v>
      </c>
      <c r="C8" s="4" t="s">
        <v>10</v>
      </c>
      <c r="D8" s="4" t="s">
        <v>11</v>
      </c>
    </row>
    <row r="9" customFormat="false" ht="15" hidden="false" customHeight="false" outlineLevel="0" collapsed="false">
      <c r="A9" s="4" t="s">
        <v>14</v>
      </c>
      <c r="B9" s="6" t="n">
        <v>5</v>
      </c>
      <c r="C9" s="4" t="s">
        <v>10</v>
      </c>
      <c r="D9" s="4" t="s">
        <v>11</v>
      </c>
    </row>
    <row r="10" customFormat="false" ht="15" hidden="false" customHeight="false" outlineLevel="0" collapsed="false">
      <c r="A10" s="4" t="s">
        <v>15</v>
      </c>
      <c r="B10" s="7" t="n">
        <v>0.5</v>
      </c>
      <c r="C10" s="4" t="s">
        <v>16</v>
      </c>
      <c r="D10" s="4" t="s">
        <v>17</v>
      </c>
    </row>
    <row r="11" customFormat="false" ht="15" hidden="false" customHeight="false" outlineLevel="0" collapsed="false">
      <c r="A11" s="4" t="s">
        <v>18</v>
      </c>
      <c r="B11" s="8" t="n">
        <v>400</v>
      </c>
      <c r="C11" s="4" t="s">
        <v>19</v>
      </c>
      <c r="D11" s="4" t="s">
        <v>20</v>
      </c>
    </row>
    <row r="12" customFormat="false" ht="15" hidden="false" customHeight="false" outlineLevel="0" collapsed="false">
      <c r="A12" s="4" t="s">
        <v>21</v>
      </c>
      <c r="B12" s="8" t="n">
        <v>2</v>
      </c>
      <c r="C12" s="4" t="s">
        <v>22</v>
      </c>
      <c r="D12" s="4" t="s">
        <v>23</v>
      </c>
    </row>
    <row r="13" customFormat="false" ht="15" hidden="false" customHeight="false" outlineLevel="0" collapsed="false">
      <c r="A13" s="4" t="s">
        <v>24</v>
      </c>
      <c r="B13" s="7" t="n">
        <v>0.15</v>
      </c>
      <c r="C13" s="4" t="s">
        <v>16</v>
      </c>
      <c r="D13" s="4" t="s">
        <v>25</v>
      </c>
    </row>
    <row r="14" customFormat="false" ht="15" hidden="false" customHeight="false" outlineLevel="0" collapsed="false">
      <c r="A14" s="4" t="s">
        <v>26</v>
      </c>
      <c r="B14" s="8" t="n">
        <v>4</v>
      </c>
      <c r="C14" s="4" t="s">
        <v>27</v>
      </c>
      <c r="D14" s="4" t="s">
        <v>28</v>
      </c>
    </row>
    <row r="15" customFormat="false" ht="15" hidden="false" customHeight="false" outlineLevel="0" collapsed="false">
      <c r="A15" s="4" t="s">
        <v>29</v>
      </c>
      <c r="B15" s="7" t="n">
        <v>0.1</v>
      </c>
      <c r="C15" s="4" t="s">
        <v>16</v>
      </c>
      <c r="D15" s="4" t="s">
        <v>30</v>
      </c>
    </row>
    <row r="16" customFormat="false" ht="15" hidden="false" customHeight="false" outlineLevel="0" collapsed="false">
      <c r="A16" s="4" t="s">
        <v>31</v>
      </c>
      <c r="B16" s="5" t="n">
        <v>497</v>
      </c>
      <c r="C16" s="4" t="s">
        <v>32</v>
      </c>
      <c r="D16" s="4" t="s">
        <v>33</v>
      </c>
    </row>
    <row r="17" customFormat="false" ht="15" hidden="false" customHeight="false" outlineLevel="0" collapsed="false">
      <c r="A17" s="4" t="s">
        <v>34</v>
      </c>
      <c r="B17" s="5" t="n">
        <v>197</v>
      </c>
      <c r="C17" s="4" t="s">
        <v>35</v>
      </c>
      <c r="D17" s="4" t="s">
        <v>36</v>
      </c>
    </row>
    <row r="18" customFormat="false" ht="15" hidden="false" customHeight="false" outlineLevel="0" collapsed="false">
      <c r="A18" s="4" t="s">
        <v>37</v>
      </c>
      <c r="B18" s="8" t="n">
        <v>30</v>
      </c>
      <c r="C18" s="4" t="s">
        <v>38</v>
      </c>
      <c r="D18" s="4" t="s">
        <v>39</v>
      </c>
    </row>
    <row r="19" customFormat="false" ht="15" hidden="false" customHeight="false" outlineLevel="0" collapsed="false">
      <c r="A19" s="4" t="s">
        <v>40</v>
      </c>
      <c r="B19" s="9" t="n">
        <v>0.0299</v>
      </c>
      <c r="C19" s="4" t="s">
        <v>41</v>
      </c>
      <c r="D19" s="4" t="s">
        <v>42</v>
      </c>
    </row>
    <row r="20" customFormat="false" ht="15" hidden="false" customHeight="false" outlineLevel="0" collapsed="false">
      <c r="A20" s="4" t="s">
        <v>43</v>
      </c>
      <c r="B20" s="10" t="n">
        <v>0.49</v>
      </c>
      <c r="C20" s="4" t="s">
        <v>32</v>
      </c>
      <c r="D20" s="4" t="s">
        <v>44</v>
      </c>
    </row>
    <row r="21" customFormat="false" ht="15" hidden="false" customHeight="false" outlineLevel="0" collapsed="false">
      <c r="A21" s="4" t="s">
        <v>45</v>
      </c>
      <c r="B21" s="7" t="n">
        <v>0.06</v>
      </c>
      <c r="C21" s="4" t="s">
        <v>46</v>
      </c>
      <c r="D21" s="4" t="s">
        <v>47</v>
      </c>
    </row>
    <row r="22" customFormat="false" ht="15" hidden="false" customHeight="false" outlineLevel="0" collapsed="false">
      <c r="A22" s="4" t="s">
        <v>48</v>
      </c>
      <c r="B22" s="5" t="n">
        <v>1000</v>
      </c>
      <c r="C22" s="4" t="s">
        <v>35</v>
      </c>
      <c r="D22" s="4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80"/>
  </cols>
  <sheetData>
    <row r="1" customFormat="false" ht="17.35" hidden="false" customHeight="false" outlineLevel="0" collapsed="false">
      <c r="A1" s="1" t="s">
        <v>50</v>
      </c>
    </row>
    <row r="3" customFormat="false" ht="26.85" hidden="false" customHeight="false" outlineLevel="0" collapsed="false">
      <c r="A3" s="3" t="s">
        <v>51</v>
      </c>
      <c r="B3" s="3" t="s">
        <v>52</v>
      </c>
      <c r="C3" s="3" t="s">
        <v>53</v>
      </c>
      <c r="D3" s="3" t="s">
        <v>54</v>
      </c>
      <c r="E3" s="3" t="s">
        <v>55</v>
      </c>
      <c r="F3" s="3" t="s">
        <v>56</v>
      </c>
      <c r="G3" s="3" t="s">
        <v>57</v>
      </c>
      <c r="H3" s="3" t="s">
        <v>58</v>
      </c>
    </row>
    <row r="4" customFormat="false" ht="15" hidden="false" customHeight="false" outlineLevel="0" collapsed="false">
      <c r="A4" s="4" t="s">
        <v>59</v>
      </c>
      <c r="B4" s="11" t="s">
        <v>60</v>
      </c>
      <c r="C4" s="12" t="n">
        <v>3500</v>
      </c>
      <c r="D4" s="12" t="n">
        <v>600</v>
      </c>
      <c r="E4" s="13" t="n">
        <f aca="false">1</f>
        <v>1</v>
      </c>
      <c r="F4" s="14" t="n">
        <f aca="false">IF(B4="Sonnet",(C4*(1-Premissas!$B$10)*Premissas!$B$6+D4*Premissas!$B$7)/1000000,(C4*(1-Premissas!$B$10)*Premissas!$B$8+D4*Premissas!$B$9)/1000000)</f>
        <v>0.00475</v>
      </c>
      <c r="G4" s="14" t="n">
        <f aca="false">F4*E4</f>
        <v>0.00475</v>
      </c>
      <c r="H4" s="4" t="s">
        <v>61</v>
      </c>
    </row>
    <row r="5" customFormat="false" ht="15" hidden="false" customHeight="false" outlineLevel="0" collapsed="false">
      <c r="A5" s="4" t="s">
        <v>62</v>
      </c>
      <c r="B5" s="11" t="s">
        <v>63</v>
      </c>
      <c r="C5" s="12" t="n">
        <v>2500</v>
      </c>
      <c r="D5" s="12" t="n">
        <v>300</v>
      </c>
      <c r="E5" s="13" t="n">
        <f aca="false">1</f>
        <v>1</v>
      </c>
      <c r="F5" s="14" t="n">
        <f aca="false">IF(B5="Sonnet",(C5*(1-Premissas!$B$10)*Premissas!$B$6+D5*Premissas!$B$7)/1000000,(C5*(1-Premissas!$B$10)*Premissas!$B$8+D5*Premissas!$B$9)/1000000)</f>
        <v>0.0055</v>
      </c>
      <c r="G5" s="14" t="n">
        <f aca="false">F5*E5</f>
        <v>0.0055</v>
      </c>
      <c r="H5" s="4" t="s">
        <v>64</v>
      </c>
    </row>
    <row r="6" customFormat="false" ht="15" hidden="false" customHeight="false" outlineLevel="0" collapsed="false">
      <c r="A6" s="4" t="s">
        <v>65</v>
      </c>
      <c r="B6" s="11" t="s">
        <v>60</v>
      </c>
      <c r="C6" s="12" t="n">
        <v>2000</v>
      </c>
      <c r="D6" s="12" t="n">
        <v>250</v>
      </c>
      <c r="E6" s="13" t="n">
        <f aca="false">Premissas!$B$12*(1-Premissas!$B$13)</f>
        <v>1.7</v>
      </c>
      <c r="F6" s="14" t="n">
        <f aca="false">IF(B6="Sonnet",(C6*(1-Premissas!$B$10)*Premissas!$B$6+D6*Premissas!$B$7)/1000000,(C6*(1-Premissas!$B$10)*Premissas!$B$8+D6*Premissas!$B$9)/1000000)</f>
        <v>0.00225</v>
      </c>
      <c r="G6" s="14" t="n">
        <f aca="false">F6*E6</f>
        <v>0.003825</v>
      </c>
      <c r="H6" s="4" t="s">
        <v>66</v>
      </c>
    </row>
    <row r="7" customFormat="false" ht="15" hidden="false" customHeight="false" outlineLevel="0" collapsed="false">
      <c r="A7" s="4" t="s">
        <v>67</v>
      </c>
      <c r="B7" s="11" t="s">
        <v>63</v>
      </c>
      <c r="C7" s="12" t="n">
        <v>3000</v>
      </c>
      <c r="D7" s="12" t="n">
        <v>450</v>
      </c>
      <c r="E7" s="13" t="n">
        <f aca="false">Premissas!$B$13*Premissas!$B$14</f>
        <v>0.6</v>
      </c>
      <c r="F7" s="14" t="n">
        <f aca="false">IF(B7="Sonnet",(C7*(1-Premissas!$B$10)*Premissas!$B$6+D7*Premissas!$B$7)/1000000,(C7*(1-Premissas!$B$10)*Premissas!$B$8+D7*Premissas!$B$9)/1000000)</f>
        <v>0.0075</v>
      </c>
      <c r="G7" s="14" t="n">
        <f aca="false">F7*E7</f>
        <v>0.0045</v>
      </c>
      <c r="H7" s="4" t="s">
        <v>68</v>
      </c>
    </row>
    <row r="8" customFormat="false" ht="15" hidden="false" customHeight="false" outlineLevel="0" collapsed="false">
      <c r="A8" s="4" t="s">
        <v>69</v>
      </c>
      <c r="B8" s="11" t="s">
        <v>60</v>
      </c>
      <c r="C8" s="12" t="n">
        <v>1500</v>
      </c>
      <c r="D8" s="12" t="n">
        <v>200</v>
      </c>
      <c r="E8" s="13" t="n">
        <f aca="false">1</f>
        <v>1</v>
      </c>
      <c r="F8" s="14" t="n">
        <f aca="false">IF(B8="Sonnet",(C8*(1-Premissas!$B$10)*Premissas!$B$6+D8*Premissas!$B$7)/1000000,(C8*(1-Premissas!$B$10)*Premissas!$B$8+D8*Premissas!$B$9)/1000000)</f>
        <v>0.00175</v>
      </c>
      <c r="G8" s="14" t="n">
        <f aca="false">F8*E8</f>
        <v>0.00175</v>
      </c>
      <c r="H8" s="4" t="s">
        <v>70</v>
      </c>
    </row>
    <row r="9" customFormat="false" ht="15" hidden="false" customHeight="false" outlineLevel="0" collapsed="false">
      <c r="A9" s="15" t="s">
        <v>71</v>
      </c>
      <c r="G9" s="16" t="n">
        <f aca="false">SUM(G4:G8)</f>
        <v>0.020325</v>
      </c>
    </row>
    <row r="10" customFormat="false" ht="15" hidden="false" customHeight="false" outlineLevel="0" collapsed="false">
      <c r="A10" s="15" t="s">
        <v>72</v>
      </c>
      <c r="G10" s="17" t="n">
        <f aca="false">G9*Premissas!$B$5</f>
        <v>0.1117875</v>
      </c>
    </row>
    <row r="11" customFormat="false" ht="15" hidden="false" customHeight="false" outlineLevel="0" collapsed="false">
      <c r="A11" s="15" t="s">
        <v>73</v>
      </c>
      <c r="G11" s="17" t="n">
        <f aca="false">G10*Premissas!$B$11</f>
        <v>44.715</v>
      </c>
    </row>
    <row r="13" customFormat="false" ht="15" hidden="false" customHeight="false" outlineLevel="0" collapsed="false">
      <c r="A13" s="2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18"/>
    <col collapsed="false" customWidth="true" hidden="false" outlineLevel="0" max="4" min="4" style="0" width="13"/>
    <col collapsed="false" customWidth="true" hidden="false" outlineLevel="0" max="5" min="5" style="0" width="90"/>
  </cols>
  <sheetData>
    <row r="1" customFormat="false" ht="17.35" hidden="false" customHeight="false" outlineLevel="0" collapsed="false">
      <c r="A1" s="1" t="s">
        <v>75</v>
      </c>
    </row>
    <row r="3" customFormat="false" ht="15" hidden="false" customHeight="false" outlineLevel="0" collapsed="false">
      <c r="A3" s="15" t="s">
        <v>76</v>
      </c>
    </row>
    <row r="4" customFormat="false" ht="26.85" hidden="false" customHeight="false" outlineLevel="0" collapsed="false">
      <c r="A4" s="3" t="s">
        <v>77</v>
      </c>
      <c r="B4" s="3" t="s">
        <v>78</v>
      </c>
      <c r="C4" s="3" t="s">
        <v>79</v>
      </c>
      <c r="D4" s="3" t="s">
        <v>80</v>
      </c>
      <c r="E4" s="3" t="s">
        <v>81</v>
      </c>
    </row>
    <row r="5" customFormat="false" ht="15" hidden="false" customHeight="false" outlineLevel="0" collapsed="false">
      <c r="A5" s="4" t="s">
        <v>82</v>
      </c>
      <c r="B5" s="10" t="n">
        <v>0</v>
      </c>
      <c r="C5" s="10" t="n">
        <v>0</v>
      </c>
      <c r="D5" s="4" t="s">
        <v>83</v>
      </c>
      <c r="E5" s="4" t="s">
        <v>84</v>
      </c>
    </row>
    <row r="6" customFormat="false" ht="15" hidden="false" customHeight="false" outlineLevel="0" collapsed="false">
      <c r="A6" s="4" t="s">
        <v>85</v>
      </c>
      <c r="B6" s="10" t="n">
        <v>0</v>
      </c>
      <c r="C6" s="10" t="n">
        <v>0</v>
      </c>
      <c r="D6" s="4" t="s">
        <v>83</v>
      </c>
      <c r="E6" s="4" t="s">
        <v>86</v>
      </c>
    </row>
    <row r="7" customFormat="false" ht="15" hidden="false" customHeight="false" outlineLevel="0" collapsed="false">
      <c r="A7" s="4" t="s">
        <v>87</v>
      </c>
      <c r="B7" s="18" t="n">
        <f aca="false">5*Premissas!$B$5</f>
        <v>27.5</v>
      </c>
      <c r="C7" s="18" t="n">
        <f aca="false">'IA por lead'!$G$11</f>
        <v>44.715</v>
      </c>
      <c r="D7" s="4" t="s">
        <v>83</v>
      </c>
      <c r="E7" s="4" t="s">
        <v>88</v>
      </c>
    </row>
    <row r="8" customFormat="false" ht="15" hidden="false" customHeight="false" outlineLevel="0" collapsed="false">
      <c r="A8" s="4" t="s">
        <v>89</v>
      </c>
      <c r="B8" s="10" t="n">
        <v>0</v>
      </c>
      <c r="C8" s="10" t="n">
        <v>0</v>
      </c>
      <c r="D8" s="4" t="s">
        <v>83</v>
      </c>
      <c r="E8" s="4" t="s">
        <v>90</v>
      </c>
    </row>
    <row r="9" customFormat="false" ht="15" hidden="false" customHeight="false" outlineLevel="0" collapsed="false">
      <c r="A9" s="4" t="s">
        <v>91</v>
      </c>
      <c r="B9" s="10" t="n">
        <v>0</v>
      </c>
      <c r="C9" s="10" t="n">
        <v>0</v>
      </c>
      <c r="D9" s="4" t="s">
        <v>92</v>
      </c>
      <c r="E9" s="4" t="s">
        <v>93</v>
      </c>
    </row>
    <row r="10" customFormat="false" ht="15" hidden="false" customHeight="false" outlineLevel="0" collapsed="false">
      <c r="A10" s="4" t="s">
        <v>94</v>
      </c>
      <c r="B10" s="10" t="n">
        <v>40</v>
      </c>
      <c r="C10" s="10" t="n">
        <v>0</v>
      </c>
      <c r="D10" s="4" t="s">
        <v>92</v>
      </c>
      <c r="E10" s="4" t="s">
        <v>95</v>
      </c>
    </row>
    <row r="11" customFormat="false" ht="15" hidden="false" customHeight="false" outlineLevel="0" collapsed="false">
      <c r="A11" s="4" t="s">
        <v>96</v>
      </c>
      <c r="B11" s="10" t="n">
        <v>0</v>
      </c>
      <c r="C11" s="10" t="n">
        <v>0</v>
      </c>
      <c r="D11" s="4" t="s">
        <v>92</v>
      </c>
      <c r="E11" s="4" t="s">
        <v>97</v>
      </c>
    </row>
    <row r="12" customFormat="false" ht="15" hidden="false" customHeight="false" outlineLevel="0" collapsed="false">
      <c r="A12" s="4" t="s">
        <v>98</v>
      </c>
      <c r="B12" s="10" t="n">
        <v>0</v>
      </c>
      <c r="C12" s="10" t="n">
        <v>0</v>
      </c>
      <c r="D12" s="4" t="s">
        <v>99</v>
      </c>
      <c r="E12" s="4" t="s">
        <v>100</v>
      </c>
    </row>
    <row r="13" customFormat="false" ht="15" hidden="false" customHeight="false" outlineLevel="0" collapsed="false">
      <c r="A13" s="15" t="s">
        <v>101</v>
      </c>
      <c r="B13" s="17" t="n">
        <f aca="false">SUM(B5:B12)</f>
        <v>67.5</v>
      </c>
      <c r="C13" s="17" t="n">
        <f aca="false">SUM(C5:C12)</f>
        <v>44.715</v>
      </c>
    </row>
    <row r="15" customFormat="false" ht="15" hidden="false" customHeight="false" outlineLevel="0" collapsed="false">
      <c r="A15" s="15" t="s">
        <v>102</v>
      </c>
    </row>
    <row r="16" customFormat="false" ht="15" hidden="false" customHeight="false" outlineLevel="0" collapsed="false">
      <c r="A16" s="4" t="s">
        <v>103</v>
      </c>
      <c r="B16" s="19" t="n">
        <f aca="false">Premissas!$B$11</f>
        <v>400</v>
      </c>
    </row>
    <row r="17" customFormat="false" ht="15" hidden="false" customHeight="false" outlineLevel="0" collapsed="false">
      <c r="A17" s="4" t="s">
        <v>104</v>
      </c>
      <c r="B17" s="19" t="n">
        <f aca="false">Premissas!$B$11*Premissas!$B$13</f>
        <v>60</v>
      </c>
    </row>
    <row r="18" customFormat="false" ht="15" hidden="false" customHeight="false" outlineLevel="0" collapsed="false">
      <c r="A18" s="4" t="s">
        <v>105</v>
      </c>
      <c r="B18" s="20" t="n">
        <f aca="false">Premissas!$B$11*Premissas!$B$13*Premissas!$B$15</f>
        <v>6</v>
      </c>
    </row>
    <row r="19" customFormat="false" ht="15" hidden="false" customHeight="false" outlineLevel="0" collapsed="false">
      <c r="A19" s="4" t="s">
        <v>106</v>
      </c>
      <c r="B19" s="21" t="n">
        <f aca="false">Premissas!$B$11*Premissas!$B$13*Premissas!$B$15*Premissas!$B$16</f>
        <v>2982</v>
      </c>
    </row>
    <row r="20" customFormat="false" ht="15" hidden="false" customHeight="false" outlineLevel="0" collapsed="false">
      <c r="A20" s="4" t="s">
        <v>107</v>
      </c>
      <c r="B20" s="21" t="n">
        <f aca="false">C13</f>
        <v>44.715</v>
      </c>
    </row>
    <row r="21" customFormat="false" ht="15" hidden="false" customHeight="false" outlineLevel="0" collapsed="false">
      <c r="A21" s="4" t="s">
        <v>108</v>
      </c>
      <c r="B21" s="22" t="n">
        <f aca="false">IFERROR(B19/B20,0)</f>
        <v>66.6890305266689</v>
      </c>
    </row>
    <row r="23" customFormat="false" ht="15" hidden="false" customHeight="false" outlineLevel="0" collapsed="false">
      <c r="A23" s="2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8"/>
    <col collapsed="false" customWidth="true" hidden="false" outlineLevel="0" max="4" min="4" style="0" width="13"/>
    <col collapsed="false" customWidth="true" hidden="false" outlineLevel="0" max="5" min="5" style="0" width="100"/>
  </cols>
  <sheetData>
    <row r="1" customFormat="false" ht="17.35" hidden="false" customHeight="false" outlineLevel="0" collapsed="false">
      <c r="A1" s="1" t="s">
        <v>110</v>
      </c>
    </row>
    <row r="3" customFormat="false" ht="15" hidden="false" customHeight="false" outlineLevel="0" collapsed="false">
      <c r="A3" s="15" t="s">
        <v>111</v>
      </c>
    </row>
    <row r="4" customFormat="false" ht="26.85" hidden="false" customHeight="false" outlineLevel="0" collapsed="false">
      <c r="A4" s="3" t="s">
        <v>77</v>
      </c>
      <c r="B4" s="3" t="s">
        <v>78</v>
      </c>
      <c r="C4" s="3" t="s">
        <v>79</v>
      </c>
      <c r="D4" s="3" t="s">
        <v>80</v>
      </c>
      <c r="E4" s="3" t="s">
        <v>81</v>
      </c>
    </row>
    <row r="5" customFormat="false" ht="15" hidden="false" customHeight="false" outlineLevel="0" collapsed="false">
      <c r="A5" s="4" t="s">
        <v>112</v>
      </c>
      <c r="B5" s="10" t="n">
        <v>500</v>
      </c>
      <c r="C5" s="10" t="n">
        <v>0</v>
      </c>
      <c r="D5" s="4" t="s">
        <v>83</v>
      </c>
      <c r="E5" s="4" t="s">
        <v>113</v>
      </c>
    </row>
    <row r="6" customFormat="false" ht="15" hidden="false" customHeight="false" outlineLevel="0" collapsed="false">
      <c r="A6" s="4" t="s">
        <v>114</v>
      </c>
      <c r="B6" s="10" t="n">
        <v>0</v>
      </c>
      <c r="C6" s="10" t="n">
        <v>250</v>
      </c>
      <c r="D6" s="4" t="s">
        <v>83</v>
      </c>
      <c r="E6" s="4" t="s">
        <v>115</v>
      </c>
    </row>
    <row r="7" customFormat="false" ht="15" hidden="false" customHeight="false" outlineLevel="0" collapsed="false">
      <c r="A7" s="4" t="s">
        <v>116</v>
      </c>
      <c r="B7" s="10" t="n">
        <v>1500</v>
      </c>
      <c r="C7" s="10" t="n">
        <v>0</v>
      </c>
      <c r="D7" s="4" t="s">
        <v>83</v>
      </c>
      <c r="E7" s="4" t="s">
        <v>117</v>
      </c>
    </row>
    <row r="8" customFormat="false" ht="15" hidden="false" customHeight="false" outlineLevel="0" collapsed="false">
      <c r="A8" s="4" t="s">
        <v>118</v>
      </c>
      <c r="B8" s="10" t="n">
        <v>450</v>
      </c>
      <c r="C8" s="10" t="n">
        <v>0</v>
      </c>
      <c r="D8" s="4" t="s">
        <v>119</v>
      </c>
      <c r="E8" s="4" t="s">
        <v>120</v>
      </c>
    </row>
    <row r="9" customFormat="false" ht="15" hidden="false" customHeight="false" outlineLevel="0" collapsed="false">
      <c r="A9" s="4" t="s">
        <v>121</v>
      </c>
      <c r="B9" s="10" t="n">
        <v>40</v>
      </c>
      <c r="C9" s="10" t="n">
        <v>0</v>
      </c>
      <c r="D9" s="4" t="s">
        <v>83</v>
      </c>
      <c r="E9" s="4" t="s">
        <v>122</v>
      </c>
    </row>
    <row r="10" customFormat="false" ht="15" hidden="false" customHeight="false" outlineLevel="0" collapsed="false">
      <c r="A10" s="4" t="s">
        <v>123</v>
      </c>
      <c r="B10" s="10" t="n">
        <v>0</v>
      </c>
      <c r="C10" s="10" t="n">
        <v>0</v>
      </c>
      <c r="D10" s="4" t="s">
        <v>83</v>
      </c>
      <c r="E10" s="4" t="s">
        <v>124</v>
      </c>
    </row>
    <row r="11" customFormat="false" ht="15" hidden="false" customHeight="false" outlineLevel="0" collapsed="false">
      <c r="A11" s="4" t="s">
        <v>125</v>
      </c>
      <c r="B11" s="10" t="n">
        <v>0</v>
      </c>
      <c r="C11" s="18" t="n">
        <f aca="false">25*Premissas!$B$5</f>
        <v>137.5</v>
      </c>
      <c r="D11" s="4" t="s">
        <v>83</v>
      </c>
      <c r="E11" s="4" t="s">
        <v>126</v>
      </c>
    </row>
    <row r="12" customFormat="false" ht="15" hidden="false" customHeight="false" outlineLevel="0" collapsed="false">
      <c r="A12" s="4" t="s">
        <v>127</v>
      </c>
      <c r="B12" s="10" t="n">
        <v>0</v>
      </c>
      <c r="C12" s="18" t="n">
        <f aca="false">19*Premissas!$B$5</f>
        <v>104.5</v>
      </c>
      <c r="D12" s="4" t="s">
        <v>92</v>
      </c>
      <c r="E12" s="4" t="s">
        <v>128</v>
      </c>
    </row>
    <row r="13" customFormat="false" ht="15" hidden="false" customHeight="false" outlineLevel="0" collapsed="false">
      <c r="A13" s="4" t="s">
        <v>129</v>
      </c>
      <c r="B13" s="10" t="n">
        <v>0</v>
      </c>
      <c r="C13" s="18" t="n">
        <f aca="false">20*Premissas!$B$5</f>
        <v>110</v>
      </c>
      <c r="D13" s="4" t="s">
        <v>83</v>
      </c>
      <c r="E13" s="4" t="s">
        <v>130</v>
      </c>
    </row>
    <row r="14" customFormat="false" ht="15" hidden="false" customHeight="false" outlineLevel="0" collapsed="false">
      <c r="A14" s="4" t="s">
        <v>131</v>
      </c>
      <c r="B14" s="10" t="n">
        <v>0</v>
      </c>
      <c r="C14" s="10" t="n">
        <v>0</v>
      </c>
      <c r="D14" s="4" t="s">
        <v>92</v>
      </c>
      <c r="E14" s="4" t="s">
        <v>132</v>
      </c>
    </row>
    <row r="15" customFormat="false" ht="15" hidden="false" customHeight="false" outlineLevel="0" collapsed="false">
      <c r="A15" s="4" t="s">
        <v>133</v>
      </c>
      <c r="B15" s="10" t="n">
        <v>0</v>
      </c>
      <c r="C15" s="18" t="n">
        <f aca="false">Premissas!$B$22</f>
        <v>1000</v>
      </c>
      <c r="D15" s="4" t="s">
        <v>92</v>
      </c>
      <c r="E15" s="4" t="s">
        <v>134</v>
      </c>
    </row>
    <row r="16" customFormat="false" ht="15" hidden="false" customHeight="false" outlineLevel="0" collapsed="false">
      <c r="A16" s="15" t="s">
        <v>101</v>
      </c>
      <c r="B16" s="17" t="n">
        <f aca="false">SUM(B5:B15)</f>
        <v>2490</v>
      </c>
      <c r="C16" s="17" t="n">
        <f aca="false">SUM(C5:C15)</f>
        <v>1602</v>
      </c>
    </row>
    <row r="18" customFormat="false" ht="15" hidden="false" customHeight="false" outlineLevel="0" collapsed="false">
      <c r="A18" s="15" t="s">
        <v>135</v>
      </c>
    </row>
    <row r="19" customFormat="false" ht="26.85" hidden="false" customHeight="false" outlineLevel="0" collapsed="false">
      <c r="A19" s="3" t="s">
        <v>77</v>
      </c>
      <c r="B19" s="3" t="s">
        <v>136</v>
      </c>
      <c r="C19" s="3"/>
      <c r="D19" s="3"/>
      <c r="E19" s="3" t="s">
        <v>137</v>
      </c>
    </row>
    <row r="20" customFormat="false" ht="15" hidden="false" customHeight="false" outlineLevel="0" collapsed="false">
      <c r="A20" s="4" t="s">
        <v>138</v>
      </c>
      <c r="B20" s="18" t="n">
        <f aca="false">'IA por lead'!$G$11</f>
        <v>44.715</v>
      </c>
      <c r="E20" s="4" t="s">
        <v>139</v>
      </c>
    </row>
    <row r="21" customFormat="false" ht="15" hidden="false" customHeight="false" outlineLevel="0" collapsed="false">
      <c r="A21" s="4" t="s">
        <v>140</v>
      </c>
      <c r="B21" s="18" t="n">
        <f aca="false">Premissas!$B$17*Premissas!$B$19+Premissas!$B$20</f>
        <v>6.3803</v>
      </c>
      <c r="E21" s="4" t="s">
        <v>141</v>
      </c>
    </row>
    <row r="22" customFormat="false" ht="15" hidden="false" customHeight="false" outlineLevel="0" collapsed="false">
      <c r="A22" s="4" t="s">
        <v>142</v>
      </c>
      <c r="B22" s="18" t="n">
        <f aca="false">Premissas!$B$17*Premissas!$B$21</f>
        <v>11.82</v>
      </c>
      <c r="E22" s="4" t="s">
        <v>143</v>
      </c>
    </row>
    <row r="23" customFormat="false" ht="15" hidden="false" customHeight="false" outlineLevel="0" collapsed="false">
      <c r="A23" s="4" t="s">
        <v>144</v>
      </c>
      <c r="B23" s="10" t="n">
        <v>1</v>
      </c>
      <c r="E23" s="4" t="s">
        <v>145</v>
      </c>
    </row>
    <row r="24" customFormat="false" ht="15" hidden="false" customHeight="false" outlineLevel="0" collapsed="false">
      <c r="A24" s="15" t="s">
        <v>146</v>
      </c>
      <c r="B24" s="17" t="n">
        <f aca="false">SUM(B20:B23)</f>
        <v>63.9153</v>
      </c>
    </row>
    <row r="26" customFormat="false" ht="15" hidden="false" customHeight="false" outlineLevel="0" collapsed="false">
      <c r="A26" s="15" t="s">
        <v>147</v>
      </c>
    </row>
    <row r="27" customFormat="false" ht="15" hidden="false" customHeight="false" outlineLevel="0" collapsed="false">
      <c r="A27" s="4" t="s">
        <v>148</v>
      </c>
      <c r="B27" s="21" t="n">
        <f aca="false">Premissas!$B$17</f>
        <v>197</v>
      </c>
    </row>
    <row r="28" customFormat="false" ht="15" hidden="false" customHeight="false" outlineLevel="0" collapsed="false">
      <c r="A28" s="4" t="s">
        <v>149</v>
      </c>
      <c r="B28" s="21" t="n">
        <f aca="false">B27-B24</f>
        <v>133.0847</v>
      </c>
    </row>
    <row r="29" customFormat="false" ht="15" hidden="false" customHeight="false" outlineLevel="0" collapsed="false">
      <c r="A29" s="4" t="s">
        <v>150</v>
      </c>
      <c r="B29" s="23" t="n">
        <f aca="false">IFERROR(B28/B27,0)</f>
        <v>0.675556852791878</v>
      </c>
    </row>
    <row r="30" customFormat="false" ht="15" hidden="false" customHeight="false" outlineLevel="0" collapsed="false">
      <c r="A30" s="4" t="s">
        <v>151</v>
      </c>
      <c r="B30" s="19" t="n">
        <f aca="false">Premissas!$B$18</f>
        <v>30</v>
      </c>
    </row>
    <row r="31" customFormat="false" ht="15" hidden="false" customHeight="false" outlineLevel="0" collapsed="false">
      <c r="A31" s="4" t="s">
        <v>152</v>
      </c>
      <c r="B31" s="21" t="n">
        <f aca="false">B27*B30</f>
        <v>5910</v>
      </c>
    </row>
    <row r="32" customFormat="false" ht="15" hidden="false" customHeight="false" outlineLevel="0" collapsed="false">
      <c r="A32" s="4" t="s">
        <v>153</v>
      </c>
      <c r="B32" s="21" t="n">
        <f aca="false">B24*B30</f>
        <v>1917.459</v>
      </c>
    </row>
    <row r="33" customFormat="false" ht="15" hidden="false" customHeight="false" outlineLevel="0" collapsed="false">
      <c r="A33" s="4" t="s">
        <v>154</v>
      </c>
      <c r="B33" s="21" t="n">
        <f aca="false">C16</f>
        <v>1602</v>
      </c>
    </row>
    <row r="34" customFormat="false" ht="15" hidden="false" customHeight="false" outlineLevel="0" collapsed="false">
      <c r="A34" s="4" t="s">
        <v>155</v>
      </c>
      <c r="B34" s="24" t="n">
        <f aca="false">B31-B32-B33</f>
        <v>2390.541</v>
      </c>
    </row>
    <row r="35" customFormat="false" ht="15" hidden="false" customHeight="false" outlineLevel="0" collapsed="false">
      <c r="A35" s="4" t="s">
        <v>156</v>
      </c>
      <c r="B35" s="25" t="n">
        <f aca="false">IFERROR(ROUNDUP(B33/B28,0),0)</f>
        <v>13</v>
      </c>
    </row>
    <row r="36" customFormat="false" ht="15" hidden="false" customHeight="false" outlineLevel="0" collapsed="false">
      <c r="A36" s="4" t="s">
        <v>157</v>
      </c>
      <c r="B36" s="24" t="n">
        <f aca="false">B16</f>
        <v>2490</v>
      </c>
    </row>
    <row r="37" customFormat="false" ht="15" hidden="false" customHeight="false" outlineLevel="0" collapsed="false">
      <c r="A37" s="4" t="s">
        <v>158</v>
      </c>
      <c r="B37" s="26" t="n">
        <f aca="false">IF(B34&gt;0,ROUNDUP(B36/B34,0),"Sem lucro ainda")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1" t="s">
        <v>159</v>
      </c>
    </row>
    <row r="3" customFormat="false" ht="26.85" hidden="false" customHeight="false" outlineLevel="0" collapsed="false">
      <c r="A3" s="27" t="s">
        <v>160</v>
      </c>
    </row>
    <row r="4" customFormat="false" ht="26.85" hidden="false" customHeight="false" outlineLevel="0" collapsed="false">
      <c r="A4" s="27" t="s">
        <v>161</v>
      </c>
    </row>
    <row r="5" customFormat="false" ht="15" hidden="false" customHeight="false" outlineLevel="0" collapsed="false">
      <c r="A5" s="27" t="s">
        <v>162</v>
      </c>
    </row>
    <row r="6" customFormat="false" ht="15" hidden="false" customHeight="false" outlineLevel="0" collapsed="false">
      <c r="A6" s="27" t="s">
        <v>163</v>
      </c>
    </row>
    <row r="7" customFormat="false" ht="26.85" hidden="false" customHeight="false" outlineLevel="0" collapsed="false">
      <c r="A7" s="27" t="s">
        <v>164</v>
      </c>
    </row>
    <row r="8" customFormat="false" ht="15" hidden="false" customHeight="false" outlineLevel="0" collapsed="false">
      <c r="A8" s="27" t="s">
        <v>165</v>
      </c>
    </row>
    <row r="9" customFormat="false" ht="15" hidden="false" customHeight="false" outlineLevel="0" collapsed="false">
      <c r="A9" s="27" t="s">
        <v>166</v>
      </c>
    </row>
    <row r="10" customFormat="false" ht="15" hidden="false" customHeight="false" outlineLevel="0" collapsed="false">
      <c r="A10" s="27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2026-10-28T18:16:01Z</dcterms:created>
  <dc:creator>openpyxl</dc:creator>
  <dc:description/>
  <dc:language>en-US</dc:language>
  <cp:lastModifiedBy/>
  <dcterms:modified xsi:type="dcterms:W3CDTF">2026-10-28T18:16:01Z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